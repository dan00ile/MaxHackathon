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и" sheetId="1" state="visible" r:id="rId3"/>
    <sheet name="Легенда" sheetId="2" state="visible" r:id="rId4"/>
  </sheets>
  <definedNames>
    <definedName function="false" hidden="true" localSheetId="0" name="_xlnm._FilterDatabase" vbProcedure="false">Задачи!$A$1:$J$37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<sst xmlns="http://schemas.openxmlformats.org/spreadsheetml/2006/main" count="293" uniqueCount="143">
  <si>
    <t xml:space="preserve">ID</t>
  </si>
  <si>
    <t xml:space="preserve">Задача</t>
  </si>
  <si>
    <t xml:space="preserve">Этап</t>
  </si>
  <si>
    <t xml:space="preserve">Модуль</t>
  </si>
  <si>
    <t xml:space="preserve">Приоритет</t>
  </si>
  <si>
    <t xml:space="preserve">Статус</t>
  </si>
  <si>
    <t xml:space="preserve">Ответственный</t>
  </si>
  <si>
    <t xml:space="preserve">Оценка, ч</t>
  </si>
  <si>
    <t xml:space="preserve">Зависимости</t>
  </si>
  <si>
    <t xml:space="preserve">Примечание</t>
  </si>
  <si>
    <t xml:space="preserve">T-01</t>
  </si>
  <si>
    <t xml:space="preserve">Составить системные требования и MoSCoW</t>
  </si>
  <si>
    <t xml:space="preserve">Dive</t>
  </si>
  <si>
    <t xml:space="preserve">Аналитика</t>
  </si>
  <si>
    <t xml:space="preserve">Must</t>
  </si>
  <si>
    <t xml:space="preserve">Done</t>
  </si>
  <si>
    <t xml:space="preserve">Готовый документ</t>
  </si>
  <si>
    <t xml:space="preserve">T-02</t>
  </si>
  <si>
    <t xml:space="preserve">PSW-разбор и критерии успеха</t>
  </si>
  <si>
    <t xml:space="preserve">T-03</t>
  </si>
  <si>
    <t xml:space="preserve">Подтвердить нормы и сроки (318/пр), область применения</t>
  </si>
  <si>
    <t xml:space="preserve">Только советы МКД, не ТСЖ</t>
  </si>
  <si>
    <t xml:space="preserve">T-04</t>
  </si>
  <si>
    <t xml:space="preserve">Сформулировать гипотезу и уровни impact</t>
  </si>
  <si>
    <t xml:space="preserve">T-05</t>
  </si>
  <si>
    <t xml:space="preserve">Изучить правила хакатона и требования к боту/мини-приложению</t>
  </si>
  <si>
    <t xml:space="preserve">To Do</t>
  </si>
  <si>
    <t xml:space="preserve">T-06</t>
  </si>
  <si>
    <t xml:space="preserve">Создать репозиторий и каркас проекта</t>
  </si>
  <si>
    <t xml:space="preserve">Create</t>
  </si>
  <si>
    <t xml:space="preserve">Инфраструктура</t>
  </si>
  <si>
    <t xml:space="preserve">T-07</t>
  </si>
  <si>
    <t xml:space="preserve">Зарегистрировать бота в MAX, доступ к Bot API</t>
  </si>
  <si>
    <t xml:space="preserve">Уточнить API — см. открытые вопросы</t>
  </si>
  <si>
    <t xml:space="preserve">T-08</t>
  </si>
  <si>
    <t xml:space="preserve">Подготовить Docker и README (параллельно)</t>
  </si>
  <si>
    <t xml:space="preserve">Should</t>
  </si>
  <si>
    <t xml:space="preserve">Backlog</t>
  </si>
  <si>
    <t xml:space="preserve">Требование сдачи</t>
  </si>
  <si>
    <t xml:space="preserve">T-09</t>
  </si>
  <si>
    <t xml:space="preserve">Регистрация пользователя и определение роли</t>
  </si>
  <si>
    <t xml:space="preserve">A. Роли</t>
  </si>
  <si>
    <t xml:space="preserve">T-07,T-10</t>
  </si>
  <si>
    <t xml:space="preserve">T-10</t>
  </si>
  <si>
    <t xml:space="preserve">Демо-справочник дом–УК–председатель</t>
  </si>
  <si>
    <t xml:space="preserve">В MVP вручную</t>
  </si>
  <si>
    <t xml:space="preserve">T-11</t>
  </si>
  <si>
    <t xml:space="preserve">Приём/загрузка акта и карточка акта</t>
  </si>
  <si>
    <t xml:space="preserve">B. Карточка акта</t>
  </si>
  <si>
    <t xml:space="preserve">T-12</t>
  </si>
  <si>
    <t xml:space="preserve">Фиксация даты и времени получения акта</t>
  </si>
  <si>
    <t xml:space="preserve">Подтверждение вручения</t>
  </si>
  <si>
    <t xml:space="preserve">T-13</t>
  </si>
  <si>
    <t xml:space="preserve">Экран «что проверить» для председателя и жителей</t>
  </si>
  <si>
    <t xml:space="preserve">T-14</t>
  </si>
  <si>
    <t xml:space="preserve">Движок сроков 5/10/30 дней</t>
  </si>
  <si>
    <t xml:space="preserve">C. Сроки</t>
  </si>
  <si>
    <t xml:space="preserve">Ядро ценности</t>
  </si>
  <si>
    <t xml:space="preserve">T-15</t>
  </si>
  <si>
    <t xml:space="preserve">Обратный отсчёт в интерфейсе</t>
  </si>
  <si>
    <t xml:space="preserve">T-16</t>
  </si>
  <si>
    <t xml:space="preserve">Проактивные уведомления: старт / напоминания / финал</t>
  </si>
  <si>
    <t xml:space="preserve">T-17</t>
  </si>
  <si>
    <t xml:space="preserve">Авто-переход в «молчаливое согласие» на 30-й день</t>
  </si>
  <si>
    <t xml:space="preserve">T-18</t>
  </si>
  <si>
    <t xml:space="preserve">Приём замечаний жителей в свободной форме</t>
  </si>
  <si>
    <t xml:space="preserve">D. Замечания</t>
  </si>
  <si>
    <t xml:space="preserve">T-09,T-11</t>
  </si>
  <si>
    <t xml:space="preserve">T-19</t>
  </si>
  <si>
    <t xml:space="preserve">Привязка замечаний к акту и автору</t>
  </si>
  <si>
    <t xml:space="preserve">T-20</t>
  </si>
  <si>
    <t xml:space="preserve">Интеграция лёгкой LLM для формализации замечаний</t>
  </si>
  <si>
    <t xml:space="preserve">E. Обработка (LLM)</t>
  </si>
  <si>
    <t xml:space="preserve">Изюминка решения</t>
  </si>
  <si>
    <t xml:space="preserve">T-21</t>
  </si>
  <si>
    <t xml:space="preserve">Сборка агрегированного черновика замечаний</t>
  </si>
  <si>
    <t xml:space="preserve">T-22</t>
  </si>
  <si>
    <t xml:space="preserve">Фильтрация и дедупликация нерелевантных замечаний</t>
  </si>
  <si>
    <t xml:space="preserve">T-23</t>
  </si>
  <si>
    <t xml:space="preserve">Подписание через Госключ (или заглушка для демо)</t>
  </si>
  <si>
    <t xml:space="preserve">F. Подпись</t>
  </si>
  <si>
    <t xml:space="preserve">Уточнить API Госключа</t>
  </si>
  <si>
    <t xml:space="preserve">T-24</t>
  </si>
  <si>
    <t xml:space="preserve">Сохранение и передача подписанного экземпляра</t>
  </si>
  <si>
    <t xml:space="preserve">T-25</t>
  </si>
  <si>
    <t xml:space="preserve">Генерация мотивированного отказа из замечаний</t>
  </si>
  <si>
    <t xml:space="preserve">G. Отказ</t>
  </si>
  <si>
    <t xml:space="preserve">Аргументированные возражения</t>
  </si>
  <si>
    <t xml:space="preserve">T-26</t>
  </si>
  <si>
    <t xml:space="preserve">Редактирование и подтверждение отказа председателем</t>
  </si>
  <si>
    <t xml:space="preserve">T-27</t>
  </si>
  <si>
    <t xml:space="preserve">Отправка отказа исполнителю с фиксацией времени</t>
  </si>
  <si>
    <t xml:space="preserve">T-28</t>
  </si>
  <si>
    <t xml:space="preserve">Workflow совместного осмотра и нового акта</t>
  </si>
  <si>
    <t xml:space="preserve">п. 3–5 приказа</t>
  </si>
  <si>
    <t xml:space="preserve">T-29</t>
  </si>
  <si>
    <t xml:space="preserve">Тестовый сквозной сценарий прохождения</t>
  </si>
  <si>
    <t xml:space="preserve">Тестирование</t>
  </si>
  <si>
    <t xml:space="preserve">T-24,T-27</t>
  </si>
  <si>
    <t xml:space="preserve">T-30</t>
  </si>
  <si>
    <t xml:space="preserve">Прогнать чек-лист Create перед этапом Impact</t>
  </si>
  <si>
    <t xml:space="preserve">T-31</t>
  </si>
  <si>
    <t xml:space="preserve">Черновик презентации</t>
  </si>
  <si>
    <t xml:space="preserve">Impact</t>
  </si>
  <si>
    <t xml:space="preserve">Презентация</t>
  </si>
  <si>
    <t xml:space="preserve">T-32</t>
  </si>
  <si>
    <t xml:space="preserve">Формулировка «Благодаря этому пользователь теперь может…»</t>
  </si>
  <si>
    <t xml:space="preserve">T-33</t>
  </si>
  <si>
    <t xml:space="preserve">Проработать масштабирование (35% оценки)</t>
  </si>
  <si>
    <t xml:space="preserve">Самый весомый критерий</t>
  </si>
  <si>
    <t xml:space="preserve">T-34</t>
  </si>
  <si>
    <t xml:space="preserve">Собрать полный комплект материалов для сдачи</t>
  </si>
  <si>
    <t xml:space="preserve">T-08,T-31</t>
  </si>
  <si>
    <t xml:space="preserve">T-35</t>
  </si>
  <si>
    <t xml:space="preserve">Определить, кто выступает</t>
  </si>
  <si>
    <t xml:space="preserve">T-36</t>
  </si>
  <si>
    <t xml:space="preserve">Отрепетировать защиту и уложиться в тайминг</t>
  </si>
  <si>
    <t xml:space="preserve">T-31,T-35</t>
  </si>
  <si>
    <t xml:space="preserve">Канбан-доска — как пользоваться</t>
  </si>
  <si>
    <t xml:space="preserve">Как вести доску</t>
  </si>
  <si>
    <t xml:space="preserve">Статус в колонке «Статус» = колонка канбана. Фильтруйте или сортируйте лист «Задачи» по этой колонке, чтобы видеть каждую дорожку.</t>
  </si>
  <si>
    <t xml:space="preserve">Значения выбираются из выпадающего списка; цвет строки статуса и приоритета проставляется автоматически.</t>
  </si>
  <si>
    <t xml:space="preserve">Статусы (дорожки канбана)</t>
  </si>
  <si>
    <t xml:space="preserve">Backlog — задача в очереди, ещё не начата</t>
  </si>
  <si>
    <t xml:space="preserve">To Do — взята в ближайшую работу</t>
  </si>
  <si>
    <t xml:space="preserve">In Progress — в работе прямо сейчас</t>
  </si>
  <si>
    <t xml:space="preserve">Review — сделана, проверяется/тестируется</t>
  </si>
  <si>
    <t xml:space="preserve">Done — завершена</t>
  </si>
  <si>
    <t xml:space="preserve">Приоритеты (MoSCoW)</t>
  </si>
  <si>
    <t xml:space="preserve">Must — без этого MVP не работает и не соответствует приказу</t>
  </si>
  <si>
    <t xml:space="preserve">Should — важно, но MVP живёт без этого</t>
  </si>
  <si>
    <t xml:space="preserve">Could — желательно, если останется время</t>
  </si>
  <si>
    <t xml:space="preserve">Этапы хакатона</t>
  </si>
  <si>
    <t xml:space="preserve">Dive — разобраться в задаче</t>
  </si>
  <si>
    <t xml:space="preserve">Create — прототип, архитектура, тесты</t>
  </si>
  <si>
    <t xml:space="preserve">Impact — упаковка эффекта и защита</t>
  </si>
  <si>
    <t xml:space="preserve">Сводка (обновляется автоматически)</t>
  </si>
  <si>
    <t xml:space="preserve">По статусу</t>
  </si>
  <si>
    <t xml:space="preserve">In Progress</t>
  </si>
  <si>
    <t xml:space="preserve">Review</t>
  </si>
  <si>
    <t xml:space="preserve">По приоритету</t>
  </si>
  <si>
    <t xml:space="preserve">Could</t>
  </si>
  <si>
    <t xml:space="preserve">Всего задач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</si>
</sst>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B4F7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AD7A0"/>
          <bgColor rgb="FF000000"/>
        </patternFill>
      </fill>
    </dxf>
    <dxf>
      <fill>
        <patternFill patternType="solid">
          <fgColor rgb="FF922B21"/>
          <bgColor rgb="FF000000"/>
        </patternFill>
      </fill>
    </dxf>
    <dxf>
      <fill>
        <patternFill patternType="solid">
          <fgColor rgb="FF9C640C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AECEE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1D8348"/>
          <bgColor rgb="FF000000"/>
        </patternFill>
      </fill>
    </dxf>
    <dxf>
      <fill>
        <patternFill patternType="solid">
          <fgColor rgb="FF566573"/>
          <bgColor rgb="FF000000"/>
        </patternFill>
      </fill>
    </dxf>
    <dxf>
      <font>
        <name val="Arial"/>
        <charset val="1"/>
        <family val="0"/>
        <b val="1"/>
        <color rgb="FF566573"/>
        <sz val="10"/>
      </font>
      <fill>
        <patternFill>
          <bgColor rgb="FFEAECEE"/>
        </patternFill>
      </fill>
    </dxf>
    <dxf>
      <font>
        <name val="Arial"/>
        <charset val="1"/>
        <family val="0"/>
        <b val="1"/>
        <color rgb="FF1B4F72"/>
        <sz val="10"/>
      </font>
      <fill>
        <patternFill>
          <bgColor rgb="FFD6EAF8"/>
        </patternFill>
      </fill>
    </dxf>
    <dxf>
      <font>
        <name val="Arial"/>
        <charset val="1"/>
        <family val="0"/>
        <b val="1"/>
        <color rgb="FF7D6608"/>
        <sz val="10"/>
      </font>
      <fill>
        <patternFill>
          <bgColor rgb="FFFCF3CF"/>
        </patternFill>
      </fill>
    </dxf>
    <dxf>
      <font>
        <name val="Arial"/>
        <charset val="1"/>
        <family val="0"/>
        <b val="1"/>
        <color rgb="FF935116"/>
        <sz val="10"/>
      </font>
      <fill>
        <patternFill>
          <bgColor rgb="FFFAE5D3"/>
        </patternFill>
      </fill>
    </dxf>
    <dxf>
      <font>
        <name val="Arial"/>
        <charset val="1"/>
        <family val="0"/>
        <b val="1"/>
        <color rgb="FF1D8348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922B21"/>
        <sz val="10"/>
      </font>
      <fill>
        <patternFill>
          <bgColor rgb="FFF5B7B1"/>
        </patternFill>
      </fill>
    </dxf>
    <dxf>
      <font>
        <name val="Arial"/>
        <charset val="1"/>
        <family val="0"/>
        <b val="1"/>
        <color rgb="FF9C640C"/>
        <sz val="10"/>
      </font>
      <fill>
        <patternFill>
          <bgColor rgb="FFFAD7A0"/>
        </patternFill>
      </fill>
    </dxf>
    <dxf>
      <font>
        <name val="Arial"/>
        <charset val="1"/>
        <family val="0"/>
        <b val="1"/>
        <color rgb="FF515A5A"/>
        <sz val="10"/>
      </font>
      <fill>
        <patternFill>
          <bgColor rgb="FFD6DB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D6DBDF"/>
      <rgbColor rgb="FF9C640C"/>
      <rgbColor rgb="FF9999FF"/>
      <rgbColor rgb="FF935116"/>
      <rgbColor rgb="FFFCF3CF"/>
      <rgbColor rgb="FFD6EA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5F5E3"/>
      <rgbColor rgb="FFFAE5D3"/>
      <rgbColor rgb="FF99CCFF"/>
      <rgbColor rgb="FFF5B7B1"/>
      <rgbColor rgb="FFCC99FF"/>
      <rgbColor rgb="FFFAD7A0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1B4F72"/>
      <rgbColor rgb="FF1D8348"/>
      <rgbColor rgb="FF003300"/>
      <rgbColor rgb="FF333300"/>
      <rgbColor rgb="FF922B21"/>
      <rgbColor rgb="FF993366"/>
      <rgbColor rgb="FF1F4E78"/>
      <rgbColor rgb="FF515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3"/>
      <c r="H2" s="2" t="n">
        <v>4</v>
      </c>
      <c r="I2" s="3"/>
      <c r="J2" s="3" t="s">
        <v>16</v>
      </c>
    </row>
    <row r="3" customFormat="false" ht="15" hidden="false" customHeight="false" outlineLevel="0" collapsed="false">
      <c r="A3" s="2" t="s">
        <v>17</v>
      </c>
      <c r="B3" s="3" t="s">
        <v>18</v>
      </c>
      <c r="C3" s="2" t="s">
        <v>12</v>
      </c>
      <c r="D3" s="3" t="s">
        <v>13</v>
      </c>
      <c r="E3" s="2" t="s">
        <v>14</v>
      </c>
      <c r="F3" s="2" t="s">
        <v>15</v>
      </c>
      <c r="G3" s="3"/>
      <c r="H3" s="2" t="n">
        <v>3</v>
      </c>
      <c r="I3" s="3"/>
      <c r="J3" s="3"/>
    </row>
    <row r="4" customFormat="false" ht="15" hidden="false" customHeight="false" outlineLevel="0" collapsed="false">
      <c r="A4" s="2" t="s">
        <v>19</v>
      </c>
      <c r="B4" s="3" t="s">
        <v>20</v>
      </c>
      <c r="C4" s="2" t="s">
        <v>12</v>
      </c>
      <c r="D4" s="3" t="s">
        <v>13</v>
      </c>
      <c r="E4" s="2" t="s">
        <v>14</v>
      </c>
      <c r="F4" s="2" t="s">
        <v>15</v>
      </c>
      <c r="G4" s="3"/>
      <c r="H4" s="2" t="n">
        <v>2</v>
      </c>
      <c r="I4" s="3"/>
      <c r="J4" s="3" t="s">
        <v>21</v>
      </c>
    </row>
    <row r="5" customFormat="false" ht="15" hidden="false" customHeight="false" outlineLevel="0" collapsed="false">
      <c r="A5" s="2" t="s">
        <v>22</v>
      </c>
      <c r="B5" s="3" t="s">
        <v>23</v>
      </c>
      <c r="C5" s="2" t="s">
        <v>12</v>
      </c>
      <c r="D5" s="3" t="s">
        <v>13</v>
      </c>
      <c r="E5" s="2" t="s">
        <v>14</v>
      </c>
      <c r="F5" s="2" t="s">
        <v>15</v>
      </c>
      <c r="G5" s="3"/>
      <c r="H5" s="2" t="n">
        <v>2</v>
      </c>
      <c r="I5" s="3"/>
      <c r="J5" s="3"/>
    </row>
    <row r="6" customFormat="false" ht="23.85" hidden="false" customHeight="false" outlineLevel="0" collapsed="false">
      <c r="A6" s="2" t="s">
        <v>24</v>
      </c>
      <c r="B6" s="3" t="s">
        <v>25</v>
      </c>
      <c r="C6" s="2" t="s">
        <v>12</v>
      </c>
      <c r="D6" s="3" t="s">
        <v>13</v>
      </c>
      <c r="E6" s="2" t="s">
        <v>14</v>
      </c>
      <c r="F6" s="2" t="s">
        <v>26</v>
      </c>
      <c r="G6" s="3"/>
      <c r="H6" s="2" t="n">
        <v>2</v>
      </c>
      <c r="I6" s="3"/>
      <c r="J6" s="3"/>
    </row>
    <row r="7" customFormat="false" ht="15" hidden="false" customHeight="false" outlineLevel="0" collapsed="false">
      <c r="A7" s="2" t="s">
        <v>27</v>
      </c>
      <c r="B7" s="3" t="s">
        <v>28</v>
      </c>
      <c r="C7" s="2" t="s">
        <v>29</v>
      </c>
      <c r="D7" s="3" t="s">
        <v>30</v>
      </c>
      <c r="E7" s="2" t="s">
        <v>14</v>
      </c>
      <c r="F7" s="2" t="s">
        <v>26</v>
      </c>
      <c r="G7" s="3"/>
      <c r="H7" s="2" t="n">
        <v>3</v>
      </c>
      <c r="I7" s="3"/>
      <c r="J7" s="3"/>
    </row>
    <row r="8" customFormat="false" ht="23.85" hidden="false" customHeight="false" outlineLevel="0" collapsed="false">
      <c r="A8" s="2" t="s">
        <v>31</v>
      </c>
      <c r="B8" s="3" t="s">
        <v>32</v>
      </c>
      <c r="C8" s="2" t="s">
        <v>29</v>
      </c>
      <c r="D8" s="3" t="s">
        <v>30</v>
      </c>
      <c r="E8" s="2" t="s">
        <v>14</v>
      </c>
      <c r="F8" s="2" t="s">
        <v>26</v>
      </c>
      <c r="G8" s="3"/>
      <c r="H8" s="2" t="n">
        <v>3</v>
      </c>
      <c r="I8" s="3"/>
      <c r="J8" s="3" t="s">
        <v>33</v>
      </c>
    </row>
    <row r="9" customFormat="false" ht="15" hidden="false" customHeight="false" outlineLevel="0" collapsed="false">
      <c r="A9" s="2" t="s">
        <v>34</v>
      </c>
      <c r="B9" s="3" t="s">
        <v>35</v>
      </c>
      <c r="C9" s="2" t="s">
        <v>29</v>
      </c>
      <c r="D9" s="3" t="s">
        <v>30</v>
      </c>
      <c r="E9" s="2" t="s">
        <v>36</v>
      </c>
      <c r="F9" s="2" t="s">
        <v>37</v>
      </c>
      <c r="G9" s="3"/>
      <c r="H9" s="2" t="n">
        <v>3</v>
      </c>
      <c r="I9" s="3" t="s">
        <v>27</v>
      </c>
      <c r="J9" s="3" t="s">
        <v>38</v>
      </c>
    </row>
    <row r="10" customFormat="false" ht="15" hidden="false" customHeight="false" outlineLevel="0" collapsed="false">
      <c r="A10" s="2" t="s">
        <v>39</v>
      </c>
      <c r="B10" s="3" t="s">
        <v>40</v>
      </c>
      <c r="C10" s="2" t="s">
        <v>29</v>
      </c>
      <c r="D10" s="3" t="s">
        <v>41</v>
      </c>
      <c r="E10" s="2" t="s">
        <v>14</v>
      </c>
      <c r="F10" s="2" t="s">
        <v>37</v>
      </c>
      <c r="G10" s="3"/>
      <c r="H10" s="2" t="n">
        <v>4</v>
      </c>
      <c r="I10" s="3" t="s">
        <v>42</v>
      </c>
      <c r="J10" s="3"/>
    </row>
    <row r="11" customFormat="false" ht="15" hidden="false" customHeight="false" outlineLevel="0" collapsed="false">
      <c r="A11" s="2" t="s">
        <v>43</v>
      </c>
      <c r="B11" s="3" t="s">
        <v>44</v>
      </c>
      <c r="C11" s="2" t="s">
        <v>29</v>
      </c>
      <c r="D11" s="3" t="s">
        <v>41</v>
      </c>
      <c r="E11" s="2" t="s">
        <v>14</v>
      </c>
      <c r="F11" s="2" t="s">
        <v>37</v>
      </c>
      <c r="G11" s="3"/>
      <c r="H11" s="2" t="n">
        <v>3</v>
      </c>
      <c r="I11" s="3"/>
      <c r="J11" s="3" t="s">
        <v>45</v>
      </c>
    </row>
    <row r="12" customFormat="false" ht="15" hidden="false" customHeight="false" outlineLevel="0" collapsed="false">
      <c r="A12" s="2" t="s">
        <v>46</v>
      </c>
      <c r="B12" s="3" t="s">
        <v>47</v>
      </c>
      <c r="C12" s="2" t="s">
        <v>29</v>
      </c>
      <c r="D12" s="3" t="s">
        <v>48</v>
      </c>
      <c r="E12" s="2" t="s">
        <v>14</v>
      </c>
      <c r="F12" s="2" t="s">
        <v>37</v>
      </c>
      <c r="G12" s="3"/>
      <c r="H12" s="2" t="n">
        <v>5</v>
      </c>
      <c r="I12" s="3" t="s">
        <v>43</v>
      </c>
      <c r="J12" s="3"/>
    </row>
    <row r="13" customFormat="false" ht="15" hidden="false" customHeight="false" outlineLevel="0" collapsed="false">
      <c r="A13" s="2" t="s">
        <v>49</v>
      </c>
      <c r="B13" s="3" t="s">
        <v>50</v>
      </c>
      <c r="C13" s="2" t="s">
        <v>29</v>
      </c>
      <c r="D13" s="3" t="s">
        <v>48</v>
      </c>
      <c r="E13" s="2" t="s">
        <v>14</v>
      </c>
      <c r="F13" s="2" t="s">
        <v>37</v>
      </c>
      <c r="G13" s="3"/>
      <c r="H13" s="2" t="n">
        <v>2</v>
      </c>
      <c r="I13" s="3" t="s">
        <v>46</v>
      </c>
      <c r="J13" s="3" t="s">
        <v>51</v>
      </c>
    </row>
    <row r="14" customFormat="false" ht="15" hidden="false" customHeight="false" outlineLevel="0" collapsed="false">
      <c r="A14" s="2" t="s">
        <v>52</v>
      </c>
      <c r="B14" s="3" t="s">
        <v>53</v>
      </c>
      <c r="C14" s="2" t="s">
        <v>29</v>
      </c>
      <c r="D14" s="3" t="s">
        <v>48</v>
      </c>
      <c r="E14" s="2" t="s">
        <v>36</v>
      </c>
      <c r="F14" s="2" t="s">
        <v>37</v>
      </c>
      <c r="G14" s="3"/>
      <c r="H14" s="2" t="n">
        <v>3</v>
      </c>
      <c r="I14" s="3" t="s">
        <v>46</v>
      </c>
      <c r="J14" s="3"/>
    </row>
    <row r="15" customFormat="false" ht="15" hidden="false" customHeight="false" outlineLevel="0" collapsed="false">
      <c r="A15" s="2" t="s">
        <v>54</v>
      </c>
      <c r="B15" s="3" t="s">
        <v>55</v>
      </c>
      <c r="C15" s="2" t="s">
        <v>29</v>
      </c>
      <c r="D15" s="3" t="s">
        <v>56</v>
      </c>
      <c r="E15" s="2" t="s">
        <v>14</v>
      </c>
      <c r="F15" s="2" t="s">
        <v>37</v>
      </c>
      <c r="G15" s="3"/>
      <c r="H15" s="2" t="n">
        <v>5</v>
      </c>
      <c r="I15" s="3" t="s">
        <v>46</v>
      </c>
      <c r="J15" s="3" t="s">
        <v>57</v>
      </c>
    </row>
    <row r="16" customFormat="false" ht="15" hidden="false" customHeight="false" outlineLevel="0" collapsed="false">
      <c r="A16" s="2" t="s">
        <v>58</v>
      </c>
      <c r="B16" s="3" t="s">
        <v>59</v>
      </c>
      <c r="C16" s="2" t="s">
        <v>29</v>
      </c>
      <c r="D16" s="3" t="s">
        <v>56</v>
      </c>
      <c r="E16" s="2" t="s">
        <v>14</v>
      </c>
      <c r="F16" s="2" t="s">
        <v>37</v>
      </c>
      <c r="G16" s="3"/>
      <c r="H16" s="2" t="n">
        <v>3</v>
      </c>
      <c r="I16" s="3" t="s">
        <v>54</v>
      </c>
      <c r="J16" s="3"/>
    </row>
    <row r="17" customFormat="false" ht="15" hidden="false" customHeight="false" outlineLevel="0" collapsed="false">
      <c r="A17" s="2" t="s">
        <v>60</v>
      </c>
      <c r="B17" s="3" t="s">
        <v>61</v>
      </c>
      <c r="C17" s="2" t="s">
        <v>29</v>
      </c>
      <c r="D17" s="3" t="s">
        <v>56</v>
      </c>
      <c r="E17" s="2" t="s">
        <v>14</v>
      </c>
      <c r="F17" s="2" t="s">
        <v>37</v>
      </c>
      <c r="G17" s="3"/>
      <c r="H17" s="2" t="n">
        <v>4</v>
      </c>
      <c r="I17" s="3" t="s">
        <v>54</v>
      </c>
      <c r="J17" s="3"/>
    </row>
    <row r="18" customFormat="false" ht="15" hidden="false" customHeight="false" outlineLevel="0" collapsed="false">
      <c r="A18" s="2" t="s">
        <v>62</v>
      </c>
      <c r="B18" s="3" t="s">
        <v>63</v>
      </c>
      <c r="C18" s="2" t="s">
        <v>29</v>
      </c>
      <c r="D18" s="3" t="s">
        <v>56</v>
      </c>
      <c r="E18" s="2" t="s">
        <v>14</v>
      </c>
      <c r="F18" s="2" t="s">
        <v>37</v>
      </c>
      <c r="G18" s="3"/>
      <c r="H18" s="2" t="n">
        <v>3</v>
      </c>
      <c r="I18" s="3" t="s">
        <v>54</v>
      </c>
      <c r="J18" s="3"/>
    </row>
    <row r="19" customFormat="false" ht="15" hidden="false" customHeight="false" outlineLevel="0" collapsed="false">
      <c r="A19" s="2" t="s">
        <v>64</v>
      </c>
      <c r="B19" s="3" t="s">
        <v>65</v>
      </c>
      <c r="C19" s="2" t="s">
        <v>29</v>
      </c>
      <c r="D19" s="3" t="s">
        <v>66</v>
      </c>
      <c r="E19" s="2" t="s">
        <v>14</v>
      </c>
      <c r="F19" s="2" t="s">
        <v>37</v>
      </c>
      <c r="G19" s="3"/>
      <c r="H19" s="2" t="n">
        <v>3</v>
      </c>
      <c r="I19" s="3" t="s">
        <v>67</v>
      </c>
      <c r="J19" s="3"/>
    </row>
    <row r="20" customFormat="false" ht="15" hidden="false" customHeight="false" outlineLevel="0" collapsed="false">
      <c r="A20" s="2" t="s">
        <v>68</v>
      </c>
      <c r="B20" s="3" t="s">
        <v>69</v>
      </c>
      <c r="C20" s="2" t="s">
        <v>29</v>
      </c>
      <c r="D20" s="3" t="s">
        <v>66</v>
      </c>
      <c r="E20" s="2" t="s">
        <v>14</v>
      </c>
      <c r="F20" s="2" t="s">
        <v>37</v>
      </c>
      <c r="G20" s="3"/>
      <c r="H20" s="2" t="n">
        <v>2</v>
      </c>
      <c r="I20" s="3" t="s">
        <v>64</v>
      </c>
      <c r="J20" s="3"/>
    </row>
    <row r="21" customFormat="false" ht="15" hidden="false" customHeight="false" outlineLevel="0" collapsed="false">
      <c r="A21" s="2" t="s">
        <v>70</v>
      </c>
      <c r="B21" s="3" t="s">
        <v>71</v>
      </c>
      <c r="C21" s="2" t="s">
        <v>29</v>
      </c>
      <c r="D21" s="3" t="s">
        <v>72</v>
      </c>
      <c r="E21" s="2" t="s">
        <v>14</v>
      </c>
      <c r="F21" s="2" t="s">
        <v>37</v>
      </c>
      <c r="G21" s="3"/>
      <c r="H21" s="2" t="n">
        <v>5</v>
      </c>
      <c r="I21" s="3" t="s">
        <v>64</v>
      </c>
      <c r="J21" s="3" t="s">
        <v>73</v>
      </c>
    </row>
    <row r="22" customFormat="false" ht="15" hidden="false" customHeight="false" outlineLevel="0" collapsed="false">
      <c r="A22" s="2" t="s">
        <v>74</v>
      </c>
      <c r="B22" s="3" t="s">
        <v>75</v>
      </c>
      <c r="C22" s="2" t="s">
        <v>29</v>
      </c>
      <c r="D22" s="3" t="s">
        <v>72</v>
      </c>
      <c r="E22" s="2" t="s">
        <v>14</v>
      </c>
      <c r="F22" s="2" t="s">
        <v>37</v>
      </c>
      <c r="G22" s="3"/>
      <c r="H22" s="2" t="n">
        <v>4</v>
      </c>
      <c r="I22" s="3" t="s">
        <v>70</v>
      </c>
      <c r="J22" s="3"/>
    </row>
    <row r="23" customFormat="false" ht="15" hidden="false" customHeight="false" outlineLevel="0" collapsed="false">
      <c r="A23" s="2" t="s">
        <v>76</v>
      </c>
      <c r="B23" s="3" t="s">
        <v>77</v>
      </c>
      <c r="C23" s="2" t="s">
        <v>29</v>
      </c>
      <c r="D23" s="3" t="s">
        <v>72</v>
      </c>
      <c r="E23" s="2" t="s">
        <v>36</v>
      </c>
      <c r="F23" s="2" t="s">
        <v>37</v>
      </c>
      <c r="G23" s="3"/>
      <c r="H23" s="2" t="n">
        <v>3</v>
      </c>
      <c r="I23" s="3" t="s">
        <v>70</v>
      </c>
      <c r="J23" s="3"/>
    </row>
    <row r="24" customFormat="false" ht="15" hidden="false" customHeight="false" outlineLevel="0" collapsed="false">
      <c r="A24" s="2" t="s">
        <v>78</v>
      </c>
      <c r="B24" s="3" t="s">
        <v>79</v>
      </c>
      <c r="C24" s="2" t="s">
        <v>29</v>
      </c>
      <c r="D24" s="3" t="s">
        <v>80</v>
      </c>
      <c r="E24" s="2" t="s">
        <v>14</v>
      </c>
      <c r="F24" s="2" t="s">
        <v>37</v>
      </c>
      <c r="G24" s="3"/>
      <c r="H24" s="2" t="n">
        <v>5</v>
      </c>
      <c r="I24" s="3" t="s">
        <v>46</v>
      </c>
      <c r="J24" s="3" t="s">
        <v>81</v>
      </c>
    </row>
    <row r="25" customFormat="false" ht="15" hidden="false" customHeight="false" outlineLevel="0" collapsed="false">
      <c r="A25" s="2" t="s">
        <v>82</v>
      </c>
      <c r="B25" s="3" t="s">
        <v>83</v>
      </c>
      <c r="C25" s="2" t="s">
        <v>29</v>
      </c>
      <c r="D25" s="3" t="s">
        <v>80</v>
      </c>
      <c r="E25" s="2" t="s">
        <v>14</v>
      </c>
      <c r="F25" s="2" t="s">
        <v>37</v>
      </c>
      <c r="G25" s="3"/>
      <c r="H25" s="2" t="n">
        <v>2</v>
      </c>
      <c r="I25" s="3" t="s">
        <v>78</v>
      </c>
      <c r="J25" s="3"/>
    </row>
    <row r="26" customFormat="false" ht="15" hidden="false" customHeight="false" outlineLevel="0" collapsed="false">
      <c r="A26" s="2" t="s">
        <v>84</v>
      </c>
      <c r="B26" s="3" t="s">
        <v>85</v>
      </c>
      <c r="C26" s="2" t="s">
        <v>29</v>
      </c>
      <c r="D26" s="3" t="s">
        <v>86</v>
      </c>
      <c r="E26" s="2" t="s">
        <v>14</v>
      </c>
      <c r="F26" s="2" t="s">
        <v>37</v>
      </c>
      <c r="G26" s="3"/>
      <c r="H26" s="2" t="n">
        <v>4</v>
      </c>
      <c r="I26" s="3" t="s">
        <v>74</v>
      </c>
      <c r="J26" s="3" t="s">
        <v>87</v>
      </c>
    </row>
    <row r="27" customFormat="false" ht="15" hidden="false" customHeight="false" outlineLevel="0" collapsed="false">
      <c r="A27" s="2" t="s">
        <v>88</v>
      </c>
      <c r="B27" s="3" t="s">
        <v>89</v>
      </c>
      <c r="C27" s="2" t="s">
        <v>29</v>
      </c>
      <c r="D27" s="3" t="s">
        <v>86</v>
      </c>
      <c r="E27" s="2" t="s">
        <v>14</v>
      </c>
      <c r="F27" s="2" t="s">
        <v>37</v>
      </c>
      <c r="G27" s="3"/>
      <c r="H27" s="2" t="n">
        <v>3</v>
      </c>
      <c r="I27" s="3" t="s">
        <v>84</v>
      </c>
      <c r="J27" s="3"/>
    </row>
    <row r="28" customFormat="false" ht="15" hidden="false" customHeight="false" outlineLevel="0" collapsed="false">
      <c r="A28" s="2" t="s">
        <v>90</v>
      </c>
      <c r="B28" s="3" t="s">
        <v>91</v>
      </c>
      <c r="C28" s="2" t="s">
        <v>29</v>
      </c>
      <c r="D28" s="3" t="s">
        <v>86</v>
      </c>
      <c r="E28" s="2" t="s">
        <v>14</v>
      </c>
      <c r="F28" s="2" t="s">
        <v>37</v>
      </c>
      <c r="G28" s="3"/>
      <c r="H28" s="2" t="n">
        <v>2</v>
      </c>
      <c r="I28" s="3" t="s">
        <v>88</v>
      </c>
      <c r="J28" s="3"/>
    </row>
    <row r="29" customFormat="false" ht="15" hidden="false" customHeight="false" outlineLevel="0" collapsed="false">
      <c r="A29" s="2" t="s">
        <v>92</v>
      </c>
      <c r="B29" s="3" t="s">
        <v>93</v>
      </c>
      <c r="C29" s="2" t="s">
        <v>29</v>
      </c>
      <c r="D29" s="3" t="s">
        <v>86</v>
      </c>
      <c r="E29" s="2" t="s">
        <v>36</v>
      </c>
      <c r="F29" s="2" t="s">
        <v>37</v>
      </c>
      <c r="G29" s="3"/>
      <c r="H29" s="2" t="n">
        <v>3</v>
      </c>
      <c r="I29" s="3" t="s">
        <v>90</v>
      </c>
      <c r="J29" s="3" t="s">
        <v>94</v>
      </c>
    </row>
    <row r="30" customFormat="false" ht="15" hidden="false" customHeight="false" outlineLevel="0" collapsed="false">
      <c r="A30" s="2" t="s">
        <v>95</v>
      </c>
      <c r="B30" s="3" t="s">
        <v>96</v>
      </c>
      <c r="C30" s="2" t="s">
        <v>29</v>
      </c>
      <c r="D30" s="3" t="s">
        <v>97</v>
      </c>
      <c r="E30" s="2" t="s">
        <v>14</v>
      </c>
      <c r="F30" s="2" t="s">
        <v>37</v>
      </c>
      <c r="G30" s="3"/>
      <c r="H30" s="2" t="n">
        <v>3</v>
      </c>
      <c r="I30" s="3" t="s">
        <v>98</v>
      </c>
      <c r="J30" s="3"/>
    </row>
    <row r="31" customFormat="false" ht="15" hidden="false" customHeight="false" outlineLevel="0" collapsed="false">
      <c r="A31" s="2" t="s">
        <v>99</v>
      </c>
      <c r="B31" s="3" t="s">
        <v>100</v>
      </c>
      <c r="C31" s="2" t="s">
        <v>29</v>
      </c>
      <c r="D31" s="3" t="s">
        <v>97</v>
      </c>
      <c r="E31" s="2" t="s">
        <v>14</v>
      </c>
      <c r="F31" s="2" t="s">
        <v>37</v>
      </c>
      <c r="G31" s="3"/>
      <c r="H31" s="2" t="n">
        <v>1</v>
      </c>
      <c r="I31" s="3" t="s">
        <v>95</v>
      </c>
      <c r="J31" s="3"/>
    </row>
    <row r="32" customFormat="false" ht="15" hidden="false" customHeight="false" outlineLevel="0" collapsed="false">
      <c r="A32" s="2" t="s">
        <v>101</v>
      </c>
      <c r="B32" s="3" t="s">
        <v>102</v>
      </c>
      <c r="C32" s="2" t="s">
        <v>103</v>
      </c>
      <c r="D32" s="3" t="s">
        <v>104</v>
      </c>
      <c r="E32" s="2" t="s">
        <v>14</v>
      </c>
      <c r="F32" s="2" t="s">
        <v>37</v>
      </c>
      <c r="G32" s="3"/>
      <c r="H32" s="2" t="n">
        <v>4</v>
      </c>
      <c r="I32" s="3" t="s">
        <v>22</v>
      </c>
      <c r="J32" s="3"/>
    </row>
    <row r="33" customFormat="false" ht="23.85" hidden="false" customHeight="false" outlineLevel="0" collapsed="false">
      <c r="A33" s="2" t="s">
        <v>105</v>
      </c>
      <c r="B33" s="3" t="s">
        <v>106</v>
      </c>
      <c r="C33" s="2" t="s">
        <v>103</v>
      </c>
      <c r="D33" s="3" t="s">
        <v>104</v>
      </c>
      <c r="E33" s="2" t="s">
        <v>14</v>
      </c>
      <c r="F33" s="2" t="s">
        <v>15</v>
      </c>
      <c r="G33" s="3"/>
      <c r="H33" s="2" t="n">
        <v>1</v>
      </c>
      <c r="I33" s="3"/>
      <c r="J33" s="3"/>
    </row>
    <row r="34" customFormat="false" ht="15" hidden="false" customHeight="false" outlineLevel="0" collapsed="false">
      <c r="A34" s="2" t="s">
        <v>107</v>
      </c>
      <c r="B34" s="3" t="s">
        <v>108</v>
      </c>
      <c r="C34" s="2" t="s">
        <v>103</v>
      </c>
      <c r="D34" s="3" t="s">
        <v>104</v>
      </c>
      <c r="E34" s="2" t="s">
        <v>14</v>
      </c>
      <c r="F34" s="2" t="s">
        <v>37</v>
      </c>
      <c r="G34" s="3"/>
      <c r="H34" s="2" t="n">
        <v>3</v>
      </c>
      <c r="I34" s="3"/>
      <c r="J34" s="3" t="s">
        <v>109</v>
      </c>
    </row>
    <row r="35" customFormat="false" ht="15" hidden="false" customHeight="false" outlineLevel="0" collapsed="false">
      <c r="A35" s="2" t="s">
        <v>110</v>
      </c>
      <c r="B35" s="3" t="s">
        <v>111</v>
      </c>
      <c r="C35" s="2" t="s">
        <v>103</v>
      </c>
      <c r="D35" s="3" t="s">
        <v>104</v>
      </c>
      <c r="E35" s="2" t="s">
        <v>14</v>
      </c>
      <c r="F35" s="2" t="s">
        <v>37</v>
      </c>
      <c r="G35" s="3"/>
      <c r="H35" s="2" t="n">
        <v>2</v>
      </c>
      <c r="I35" s="3" t="s">
        <v>112</v>
      </c>
      <c r="J35" s="3"/>
    </row>
    <row r="36" customFormat="false" ht="15" hidden="false" customHeight="false" outlineLevel="0" collapsed="false">
      <c r="A36" s="2" t="s">
        <v>113</v>
      </c>
      <c r="B36" s="3" t="s">
        <v>114</v>
      </c>
      <c r="C36" s="2" t="s">
        <v>103</v>
      </c>
      <c r="D36" s="3" t="s">
        <v>104</v>
      </c>
      <c r="E36" s="2" t="s">
        <v>36</v>
      </c>
      <c r="F36" s="2" t="s">
        <v>37</v>
      </c>
      <c r="G36" s="3"/>
      <c r="H36" s="2" t="n">
        <v>1</v>
      </c>
      <c r="I36" s="3"/>
      <c r="J36" s="3"/>
    </row>
    <row r="37" customFormat="false" ht="15" hidden="false" customHeight="false" outlineLevel="0" collapsed="false">
      <c r="A37" s="2" t="s">
        <v>115</v>
      </c>
      <c r="B37" s="3" t="s">
        <v>116</v>
      </c>
      <c r="C37" s="2" t="s">
        <v>103</v>
      </c>
      <c r="D37" s="3" t="s">
        <v>104</v>
      </c>
      <c r="E37" s="2" t="s">
        <v>14</v>
      </c>
      <c r="F37" s="2" t="s">
        <v>37</v>
      </c>
      <c r="G37" s="3"/>
      <c r="H37" s="2" t="n">
        <v>3</v>
      </c>
      <c r="I37" s="3" t="s">
        <v>117</v>
      </c>
      <c r="J37" s="3"/>
    </row>
  </sheetData>
  <autoFilter ref="A1:J37"/>
  <conditionalFormatting sqref="F2:F37">
    <cfRule type="expression" priority="2" aboveAverage="0" equalAverage="0" bottom="0" percent="0" rank="0" text="" dxfId="13">
      <formula>$F2="Backlog"</formula>
    </cfRule>
    <cfRule type="expression" priority="3" aboveAverage="0" equalAverage="0" bottom="0" percent="0" rank="0" text="" dxfId="14">
      <formula>$F2="To Do"</formula>
    </cfRule>
    <cfRule type="expression" priority="4" aboveAverage="0" equalAverage="0" bottom="0" percent="0" rank="0" text="" dxfId="15">
      <formula>$F2="In Progress"</formula>
    </cfRule>
    <cfRule type="expression" priority="5" aboveAverage="0" equalAverage="0" bottom="0" percent="0" rank="0" text="" dxfId="16">
      <formula>$F2="Review"</formula>
    </cfRule>
    <cfRule type="expression" priority="6" aboveAverage="0" equalAverage="0" bottom="0" percent="0" rank="0" text="" dxfId="17">
      <formula>$F2="Done"</formula>
    </cfRule>
  </conditionalFormatting>
  <conditionalFormatting sqref="E2:E37">
    <cfRule type="expression" priority="7" aboveAverage="0" equalAverage="0" bottom="0" percent="0" rank="0" text="" dxfId="18">
      <formula>$E2="Must"</formula>
    </cfRule>
    <cfRule type="expression" priority="8" aboveAverage="0" equalAverage="0" bottom="0" percent="0" rank="0" text="" dxfId="19">
      <formula>$E2="Should"</formula>
    </cfRule>
    <cfRule type="expression" priority="9" aboveAverage="0" equalAverage="0" bottom="0" percent="0" rank="0" text="" dxfId="20">
      <formula>$E2="Could"</formula>
    </cfRule>
  </conditionalFormatting>
  <dataValidations count="3">
    <dataValidation allowBlank="true" errorStyle="stop" operator="between" showDropDown="false" showErrorMessage="false" showInputMessage="false" sqref="F2:F37" type="list">
      <formula1>"Backlog,To Do,In Progress,Review,Done"</formula1>
      <formula2>0</formula2>
    </dataValidation>
    <dataValidation allowBlank="true" errorStyle="stop" operator="between" showDropDown="false" showErrorMessage="false" showInputMessage="false" sqref="E2:E37" type="list">
      <formula1>"Must,Should,Could"</formula1>
      <formula2>0</formula2>
    </dataValidation>
    <dataValidation allowBlank="true" errorStyle="stop" operator="between" showDropDown="false" showErrorMessage="false" showInputMessage="false" sqref="C2:C37" type="list">
      <formula1>"Dive,Create,Impact"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4" t="s">
        <v>118</v>
      </c>
    </row>
    <row r="3" customFormat="false" ht="15" hidden="false" customHeight="false" outlineLevel="0" collapsed="false">
      <c r="A3" s="5" t="s">
        <v>119</v>
      </c>
    </row>
    <row r="4" customFormat="false" ht="15" hidden="false" customHeight="false" outlineLevel="0" collapsed="false">
      <c r="A4" s="6" t="s">
        <v>120</v>
      </c>
    </row>
    <row r="5" customFormat="false" ht="15" hidden="false" customHeight="false" outlineLevel="0" collapsed="false">
      <c r="A5" s="6" t="s">
        <v>121</v>
      </c>
    </row>
    <row r="6" customFormat="false" ht="15" hidden="false" customHeight="false" outlineLevel="0" collapsed="false">
      <c r="A6" s="6"/>
    </row>
    <row r="7" customFormat="false" ht="15" hidden="false" customHeight="false" outlineLevel="0" collapsed="false">
      <c r="A7" s="5" t="s">
        <v>122</v>
      </c>
    </row>
    <row r="8" customFormat="false" ht="15" hidden="false" customHeight="false" outlineLevel="0" collapsed="false">
      <c r="A8" s="6" t="s">
        <v>123</v>
      </c>
    </row>
    <row r="9" customFormat="false" ht="15" hidden="false" customHeight="false" outlineLevel="0" collapsed="false">
      <c r="A9" s="6" t="s">
        <v>124</v>
      </c>
    </row>
    <row r="10" customFormat="false" ht="15" hidden="false" customHeight="false" outlineLevel="0" collapsed="false">
      <c r="A10" s="6" t="s">
        <v>125</v>
      </c>
    </row>
    <row r="11" customFormat="false" ht="15" hidden="false" customHeight="false" outlineLevel="0" collapsed="false">
      <c r="A11" s="6" t="s">
        <v>126</v>
      </c>
    </row>
    <row r="12" customFormat="false" ht="15" hidden="false" customHeight="false" outlineLevel="0" collapsed="false">
      <c r="A12" s="6" t="s">
        <v>127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5" t="s">
        <v>128</v>
      </c>
    </row>
    <row r="15" customFormat="false" ht="15" hidden="false" customHeight="false" outlineLevel="0" collapsed="false">
      <c r="A15" s="6" t="s">
        <v>129</v>
      </c>
    </row>
    <row r="16" customFormat="false" ht="15" hidden="false" customHeight="false" outlineLevel="0" collapsed="false">
      <c r="A16" s="6" t="s">
        <v>130</v>
      </c>
    </row>
    <row r="17" customFormat="false" ht="15" hidden="false" customHeight="false" outlineLevel="0" collapsed="false">
      <c r="A17" s="6" t="s">
        <v>131</v>
      </c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5" t="s">
        <v>132</v>
      </c>
    </row>
    <row r="20" customFormat="false" ht="15" hidden="false" customHeight="false" outlineLevel="0" collapsed="false">
      <c r="A20" s="6" t="s">
        <v>133</v>
      </c>
    </row>
    <row r="21" customFormat="false" ht="15" hidden="false" customHeight="false" outlineLevel="0" collapsed="false">
      <c r="A21" s="6" t="s">
        <v>134</v>
      </c>
    </row>
    <row r="22" customFormat="false" ht="15" hidden="false" customHeight="false" outlineLevel="0" collapsed="false">
      <c r="A22" s="6" t="s">
        <v>135</v>
      </c>
    </row>
    <row r="24" customFormat="false" ht="15" hidden="false" customHeight="false" outlineLevel="0" collapsed="false">
      <c r="A24" s="5" t="s">
        <v>136</v>
      </c>
    </row>
    <row r="25" customFormat="false" ht="15" hidden="false" customHeight="false" outlineLevel="0" collapsed="false">
      <c r="A25" s="7" t="s">
        <v>137</v>
      </c>
    </row>
    <row r="26" customFormat="false" ht="15" hidden="false" customHeight="false" outlineLevel="0" collapsed="false">
      <c r="A26" s="6" t="s">
        <v>37</v>
      </c>
      <c r="B26" s="6" t="n">
        <f aca="false">COUNTIF(Задачи!$F$2:$F$37,"Backlog")</f>
        <v>28</v>
      </c>
    </row>
    <row r="27" customFormat="false" ht="15" hidden="false" customHeight="false" outlineLevel="0" collapsed="false">
      <c r="A27" s="6" t="s">
        <v>26</v>
      </c>
      <c r="B27" s="6" t="n">
        <f aca="false">COUNTIF(Задачи!$F$2:$F$37,"To Do")</f>
        <v>3</v>
      </c>
    </row>
    <row r="28" customFormat="false" ht="15" hidden="false" customHeight="false" outlineLevel="0" collapsed="false">
      <c r="A28" s="6" t="s">
        <v>138</v>
      </c>
      <c r="B28" s="6" t="n">
        <f aca="false">COUNTIF(Задачи!$F$2:$F$37,"In Progress")</f>
        <v>0</v>
      </c>
    </row>
    <row r="29" customFormat="false" ht="15" hidden="false" customHeight="false" outlineLevel="0" collapsed="false">
      <c r="A29" s="6" t="s">
        <v>139</v>
      </c>
      <c r="B29" s="6" t="n">
        <f aca="false">COUNTIF(Задачи!$F$2:$F$37,"Review")</f>
        <v>0</v>
      </c>
    </row>
    <row r="30" customFormat="false" ht="15" hidden="false" customHeight="false" outlineLevel="0" collapsed="false">
      <c r="A30" s="6" t="s">
        <v>15</v>
      </c>
      <c r="B30" s="6" t="n">
        <f aca="false">COUNTIF(Задачи!$F$2:$F$37,"Done")</f>
        <v>5</v>
      </c>
    </row>
    <row r="32" customFormat="false" ht="15" hidden="false" customHeight="false" outlineLevel="0" collapsed="false">
      <c r="A32" s="7" t="s">
        <v>140</v>
      </c>
    </row>
    <row r="33" customFormat="false" ht="15" hidden="false" customHeight="false" outlineLevel="0" collapsed="false">
      <c r="A33" s="6" t="s">
        <v>14</v>
      </c>
      <c r="B33" s="6" t="n">
        <f aca="false">COUNTIF(Задачи!$E$2:$E$37,"Must")</f>
        <v>31</v>
      </c>
    </row>
    <row r="34" customFormat="false" ht="15" hidden="false" customHeight="false" outlineLevel="0" collapsed="false">
      <c r="A34" s="6" t="s">
        <v>36</v>
      </c>
      <c r="B34" s="6" t="n">
        <f aca="false">COUNTIF(Задачи!$E$2:$E$37,"Should")</f>
        <v>5</v>
      </c>
    </row>
    <row r="35" customFormat="false" ht="15" hidden="false" customHeight="false" outlineLevel="0" collapsed="false">
      <c r="A35" s="6" t="s">
        <v>141</v>
      </c>
      <c r="B35" s="6" t="n">
        <f aca="false">COUNTIF(Задачи!$E$2:$E$37,"Could")</f>
        <v>0</v>
      </c>
    </row>
    <row r="37" customFormat="false" ht="15" hidden="false" customHeight="false" outlineLevel="0" collapsed="false">
      <c r="A37" s="7" t="s">
        <v>142</v>
      </c>
      <c r="B37" s="7" t="n">
        <f aca="false">COUNTA(Задачи!$A$2:$A$37)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2026-09-22T07:53:44Z</dcterms:created>
  <dc:creator>openpyxl</dc:creator>
  <dc:description/>
  <dc:language>en-US</dc:language>
  <cp:lastModifiedBy/>
  <dcterms:modified xsi:type="dcterms:W3CDTF">2026-09-22T07:53:44Z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